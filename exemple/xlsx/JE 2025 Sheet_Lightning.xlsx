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<sst xmlns="http://schemas.openxmlformats.org/spreadsheetml/2006/main" count="88" uniqueCount="45">
  <si>
    <t>Judge: Lightning</t>
  </si>
  <si>
    <t>EDITING /24</t>
  </si>
  <si>
    <t>VFX /18</t>
  </si>
  <si>
    <t>ARTISTIC CHOICE /12</t>
  </si>
  <si>
    <t>Rhythm and Synchronization /12</t>
  </si>
  <si>
    <t>Scene Selection /12</t>
  </si>
  <si>
    <t>Compositing / Integration /6</t>
  </si>
  <si>
    <t>Consistency / Logic /6</t>
  </si>
  <si>
    <t xml:space="preserve"> Technical Complexity /6</t>
  </si>
  <si>
    <t>CC / Color Grading /6</t>
  </si>
  <si>
    <t>Concept &amp; Narrative /6</t>
  </si>
  <si>
    <t>ENCODING &amp; MIXING /6</t>
  </si>
  <si>
    <t>GLOBAL RANKING</t>
  </si>
  <si>
    <t>Shinryu</t>
  </si>
  <si>
    <t>DarkVoodoo</t>
  </si>
  <si>
    <t>Fnalex</t>
  </si>
  <si>
    <t>ShinRyu</t>
  </si>
  <si>
    <t>Amanystya, Cmoididi</t>
  </si>
  <si>
    <t>Twister</t>
  </si>
  <si>
    <t>Xorv</t>
  </si>
  <si>
    <t>Glave</t>
  </si>
  <si>
    <t>NO-1</t>
  </si>
  <si>
    <t>AnthoMV</t>
  </si>
  <si>
    <t>Steiner</t>
  </si>
  <si>
    <t>Athrun</t>
  </si>
  <si>
    <t>Dawait</t>
  </si>
  <si>
    <t>Ceirin</t>
  </si>
  <si>
    <t>Sachavalentine</t>
  </si>
  <si>
    <t>Celso</t>
  </si>
  <si>
    <t>Darkvoodoo</t>
  </si>
  <si>
    <t>DaWait</t>
  </si>
  <si>
    <t>Cmoididi</t>
  </si>
  <si>
    <t>Flo55</t>
  </si>
  <si>
    <t>Fernouille</t>
  </si>
  <si>
    <t>flo55</t>
  </si>
  <si>
    <t>KiRr</t>
  </si>
  <si>
    <t>Kyutana, Bankai</t>
  </si>
  <si>
    <t>RedAssaut</t>
  </si>
  <si>
    <t>Miwo</t>
  </si>
  <si>
    <t xml:space="preserve">Fernix </t>
  </si>
  <si>
    <t>SachaValentine</t>
  </si>
  <si>
    <t>Kyutana/Bankai</t>
  </si>
  <si>
    <t>Maeru</t>
  </si>
  <si>
    <t>FINAL SCORES</t>
  </si>
  <si>
    <t>TOTAL /60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</si>
</sst>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b/>
      <sz val="11.0"/>
      <color rgb="FFEAD1DC"/>
      <name val="Arial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/>
    <font>
      <b/>
      <sz val="9.0"/>
      <color theme="1"/>
      <name val="Arial"/>
    </font>
    <font>
      <sz val="10.0"/>
      <color rgb="FF000000"/>
      <name val="Arial"/>
    </font>
    <font>
      <b/>
      <sz val="9.0"/>
      <color rgb="FFFFFFFF"/>
      <name val="Arial"/>
    </font>
    <font>
      <b/>
      <sz val="12.0"/>
      <color rgb="FFFFFFFF"/>
      <name val="Arial"/>
    </font>
    <font>
      <b/>
      <sz val="12.0"/>
      <color theme="1"/>
      <name val="Arial"/>
      <scheme val="minor"/>
    </font>
    <font>
      <b/>
      <sz val="11.0"/>
      <color theme="1"/>
      <name val="Arial"/>
    </font>
    <font>
      <sz val="11.0"/>
      <color theme="1"/>
      <name val="Arial"/>
    </font>
    <font>
      <sz val="11.0"/>
      <color theme="1"/>
      <name val="Arial"/>
      <scheme val="minor"/>
    </font>
  </fonts>
  <fills count="1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E6B8AF"/>
        <bgColor rgb="FFE6B8AF"/>
      </patternFill>
    </fill>
    <fill>
      <patternFill patternType="solid">
        <fgColor rgb="FFB4A7D6"/>
        <bgColor rgb="FFB4A7D6"/>
      </patternFill>
    </fill>
    <fill>
      <patternFill patternType="solid">
        <fgColor rgb="FFC9DAF8"/>
        <bgColor rgb="FFC9DAF8"/>
      </patternFill>
    </fill>
    <fill>
      <patternFill patternType="solid">
        <fgColor rgb="FFF3F3F3"/>
        <bgColor rgb="FFF3F3F3"/>
      </patternFill>
    </fill>
    <fill>
      <patternFill patternType="solid">
        <fgColor rgb="FFEAD1DC"/>
        <bgColor rgb="FFEAD1DC"/>
      </patternFill>
    </fill>
    <fill>
      <patternFill patternType="solid">
        <fgColor rgb="FFFFD966"/>
        <bgColor rgb="FFFFD96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B6D7A8"/>
        <bgColor rgb="FFB6D7A8"/>
      </patternFill>
    </fill>
    <fill>
      <patternFill patternType="solid">
        <fgColor rgb="FFD9EAD3"/>
        <bgColor rgb="FFD9EAD3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3" fontId="2" numFmtId="0" xfId="0" applyAlignment="1" applyBorder="1" applyFill="1" applyFont="1">
      <alignment horizontal="center" vertical="center"/>
    </xf>
    <xf borderId="0" fillId="2" fontId="3" numFmtId="0" xfId="0" applyAlignment="1" applyFont="1">
      <alignment horizontal="center" vertical="center"/>
    </xf>
    <xf borderId="2" fillId="4" fontId="2" numFmtId="0" xfId="0" applyAlignment="1" applyBorder="1" applyFill="1" applyFont="1">
      <alignment horizontal="center" vertical="center"/>
    </xf>
    <xf borderId="2" fillId="5" fontId="2" numFmtId="0" xfId="0" applyAlignment="1" applyBorder="1" applyFill="1" applyFont="1">
      <alignment horizontal="center" vertical="center"/>
    </xf>
    <xf borderId="3" fillId="2" fontId="3" numFmtId="0" xfId="0" applyAlignment="1" applyBorder="1" applyFon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0" fontId="4" numFmtId="0" xfId="0" applyAlignment="1" applyFont="1">
      <alignment horizontal="center" vertical="center"/>
    </xf>
    <xf borderId="4" fillId="0" fontId="5" numFmtId="0" xfId="0" applyBorder="1" applyFont="1"/>
    <xf borderId="2" fillId="3" fontId="6" numFmtId="0" xfId="0" applyAlignment="1" applyBorder="1" applyFont="1">
      <alignment horizontal="center" vertical="center"/>
    </xf>
    <xf borderId="2" fillId="4" fontId="6" numFmtId="0" xfId="0" applyAlignment="1" applyBorder="1" applyFont="1">
      <alignment horizontal="center" vertical="center"/>
    </xf>
    <xf borderId="2" fillId="5" fontId="6" numFmtId="0" xfId="0" applyAlignment="1" applyBorder="1" applyFont="1">
      <alignment horizontal="center" vertical="center"/>
    </xf>
    <xf borderId="2" fillId="7" fontId="2" numFmtId="0" xfId="0" applyAlignment="1" applyBorder="1" applyFill="1" applyFont="1">
      <alignment horizontal="center" vertical="center"/>
    </xf>
    <xf borderId="0" fillId="6" fontId="2" numFmtId="0" xfId="0" applyAlignment="1" applyFont="1">
      <alignment horizontal="center" vertical="center"/>
    </xf>
    <xf borderId="0" fillId="8" fontId="7" numFmtId="0" xfId="0" applyAlignment="1" applyFill="1" applyFont="1">
      <alignment horizontal="center" readingOrder="0" vertical="center"/>
    </xf>
    <xf borderId="2" fillId="2" fontId="8" numFmtId="0" xfId="0" applyAlignment="1" applyBorder="1" applyFont="1">
      <alignment horizontal="center" vertical="center"/>
    </xf>
    <xf borderId="2" fillId="0" fontId="3" numFmtId="0" xfId="0" applyAlignment="1" applyBorder="1" applyFont="1">
      <alignment horizontal="center" readingOrder="0" vertical="center"/>
    </xf>
    <xf borderId="0" fillId="8" fontId="7" numFmtId="0" xfId="0" applyAlignment="1" applyFont="1">
      <alignment horizontal="center" vertical="center"/>
    </xf>
    <xf borderId="2" fillId="9" fontId="3" numFmtId="0" xfId="0" applyAlignment="1" applyBorder="1" applyFill="1" applyFont="1">
      <alignment horizontal="center" readingOrder="0" vertical="center"/>
    </xf>
    <xf borderId="2" fillId="10" fontId="3" numFmtId="0" xfId="0" applyAlignment="1" applyBorder="1" applyFill="1" applyFont="1">
      <alignment horizontal="center" readingOrder="0" vertical="center"/>
    </xf>
    <xf borderId="1" fillId="2" fontId="3" numFmtId="0" xfId="0" applyAlignment="1" applyBorder="1" applyFont="1">
      <alignment horizontal="center" vertical="center"/>
    </xf>
    <xf borderId="1" fillId="6" fontId="3" numFmtId="0" xfId="0" applyAlignment="1" applyBorder="1" applyFont="1">
      <alignment horizontal="center" vertical="center"/>
    </xf>
    <xf borderId="2" fillId="2" fontId="9" numFmtId="0" xfId="0" applyAlignment="1" applyBorder="1" applyFont="1">
      <alignment horizontal="center" vertical="center"/>
    </xf>
    <xf borderId="0" fillId="0" fontId="10" numFmtId="0" xfId="0" applyAlignment="1" applyFont="1">
      <alignment horizontal="center" vertical="center"/>
    </xf>
    <xf borderId="2" fillId="3" fontId="11" numFmtId="0" xfId="0" applyAlignment="1" applyBorder="1" applyFont="1">
      <alignment horizontal="center" vertical="center"/>
    </xf>
    <xf borderId="2" fillId="0" fontId="12" numFmtId="0" xfId="0" applyAlignment="1" applyBorder="1" applyFont="1">
      <alignment horizontal="center" vertical="center"/>
    </xf>
    <xf borderId="0" fillId="0" fontId="13" numFmtId="0" xfId="0" applyAlignment="1" applyFont="1">
      <alignment horizontal="center" vertical="center"/>
    </xf>
    <xf borderId="2" fillId="4" fontId="11" numFmtId="0" xfId="0" applyAlignment="1" applyBorder="1" applyFont="1">
      <alignment horizontal="center" vertical="center"/>
    </xf>
    <xf borderId="2" fillId="11" fontId="11" numFmtId="0" xfId="0" applyAlignment="1" applyBorder="1" applyFill="1" applyFont="1">
      <alignment horizontal="center" vertical="center"/>
    </xf>
    <xf borderId="2" fillId="7" fontId="11" numFmtId="0" xfId="0" applyAlignment="1" applyBorder="1" applyFont="1">
      <alignment horizontal="center" vertical="center"/>
    </xf>
    <xf borderId="2" fillId="12" fontId="11" numFmtId="0" xfId="0" applyAlignment="1" applyBorder="1" applyFill="1" applyFont="1">
      <alignment horizontal="center" vertical="center"/>
    </xf>
    <xf borderId="2" fillId="13" fontId="12" numFmtId="0" xfId="0" applyAlignment="1" applyBorder="1" applyFill="1" applyFont="1">
      <alignment horizontal="center" vertical="center"/>
    </xf>
    <xf borderId="0" fillId="10" fontId="3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3.63"/>
    <col customWidth="1" min="2" max="2" width="26.88"/>
    <col customWidth="1" min="3" max="3" width="16.5"/>
    <col customWidth="1" min="4" max="4" width="23.0"/>
    <col customWidth="1" min="5" max="5" width="18.63"/>
    <col customWidth="1" min="6" max="6" width="23.0"/>
    <col customWidth="1" min="7" max="7" width="20.13"/>
    <col customWidth="1" min="8" max="8" width="18.88"/>
    <col customWidth="1" min="9" max="9" width="19.88"/>
    <col customWidth="1" min="10" max="10" width="21.38"/>
    <col customWidth="1" min="11" max="16" width="18.0"/>
    <col customWidth="1" min="17" max="17" width="17.88"/>
    <col customWidth="1" min="18" max="20" width="18.0"/>
    <col customWidth="1" min="21" max="21" width="16.88"/>
    <col customWidth="1" min="22" max="22" width="12.38"/>
    <col customWidth="1" min="23" max="24" width="18.0"/>
  </cols>
  <sheetData>
    <row r="1" ht="15.75" customHeight="1">
      <c r="A1" s="1" t="s">
        <v>0</v>
      </c>
      <c r="B1" s="2" t="s">
        <v>1</v>
      </c>
      <c r="C1" s="3"/>
      <c r="D1" s="4" t="s">
        <v>2</v>
      </c>
      <c r="E1" s="3"/>
      <c r="F1" s="3"/>
      <c r="G1" s="5" t="s">
        <v>3</v>
      </c>
      <c r="H1" s="3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8"/>
      <c r="Z1" s="8"/>
    </row>
    <row r="2" ht="15.75" customHeight="1">
      <c r="A2" s="9"/>
      <c r="B2" s="10" t="s">
        <v>4</v>
      </c>
      <c r="C2" s="10" t="s">
        <v>5</v>
      </c>
      <c r="D2" s="11" t="s">
        <v>6</v>
      </c>
      <c r="E2" s="11" t="s">
        <v>7</v>
      </c>
      <c r="F2" s="11" t="s">
        <v>8</v>
      </c>
      <c r="G2" s="12" t="s">
        <v>9</v>
      </c>
      <c r="H2" s="12" t="s">
        <v>10</v>
      </c>
      <c r="I2" s="13" t="s">
        <v>11</v>
      </c>
      <c r="J2" s="14"/>
      <c r="K2" s="15" t="s">
        <v>12</v>
      </c>
      <c r="L2" s="15" t="s">
        <v>13</v>
      </c>
      <c r="M2" s="15">
        <v>55.5</v>
      </c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8"/>
      <c r="Z2" s="8"/>
    </row>
    <row r="3" ht="15.75" customHeight="1">
      <c r="A3" s="16" t="s">
        <v>14</v>
      </c>
      <c r="B3" s="17">
        <v>8.0</v>
      </c>
      <c r="C3" s="17">
        <v>8.0</v>
      </c>
      <c r="D3" s="17">
        <v>3.5</v>
      </c>
      <c r="E3" s="17">
        <v>4.0</v>
      </c>
      <c r="F3" s="17">
        <v>4.5</v>
      </c>
      <c r="G3" s="17">
        <v>4.5</v>
      </c>
      <c r="H3" s="17">
        <v>4.5</v>
      </c>
      <c r="I3" s="17">
        <v>6.0</v>
      </c>
      <c r="J3" s="7"/>
      <c r="K3" s="18"/>
      <c r="L3" s="15" t="s">
        <v>15</v>
      </c>
      <c r="M3" s="15">
        <v>53.0</v>
      </c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8"/>
      <c r="Z3" s="8"/>
    </row>
    <row r="4" ht="15.75" customHeight="1">
      <c r="A4" s="16" t="s">
        <v>16</v>
      </c>
      <c r="B4" s="19">
        <v>11.0</v>
      </c>
      <c r="C4" s="19">
        <v>10.5</v>
      </c>
      <c r="D4" s="19">
        <v>5.0</v>
      </c>
      <c r="E4" s="19">
        <v>6.0</v>
      </c>
      <c r="F4" s="19">
        <v>6.0</v>
      </c>
      <c r="G4" s="19">
        <v>5.0</v>
      </c>
      <c r="H4" s="19">
        <v>6.0</v>
      </c>
      <c r="I4" s="19">
        <v>6.0</v>
      </c>
      <c r="J4" s="7"/>
      <c r="K4" s="18"/>
      <c r="L4" s="15" t="s">
        <v>17</v>
      </c>
      <c r="M4" s="15">
        <v>51.0</v>
      </c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8"/>
      <c r="Z4" s="8"/>
    </row>
    <row r="5" ht="15.75" customHeight="1">
      <c r="A5" s="16" t="s">
        <v>18</v>
      </c>
      <c r="B5" s="17">
        <v>10.5</v>
      </c>
      <c r="C5" s="17">
        <v>10.0</v>
      </c>
      <c r="D5" s="17">
        <v>4.0</v>
      </c>
      <c r="E5" s="17">
        <v>5.0</v>
      </c>
      <c r="F5" s="17">
        <v>4.5</v>
      </c>
      <c r="G5" s="17">
        <v>4.75</v>
      </c>
      <c r="H5" s="17">
        <v>4.5</v>
      </c>
      <c r="I5" s="17">
        <v>6.0</v>
      </c>
      <c r="J5" s="7"/>
      <c r="K5" s="18"/>
      <c r="L5" s="15" t="s">
        <v>18</v>
      </c>
      <c r="M5" s="15">
        <v>49.5</v>
      </c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8"/>
      <c r="Z5" s="8"/>
    </row>
    <row r="6" ht="15.75" customHeight="1">
      <c r="A6" s="16" t="s">
        <v>19</v>
      </c>
      <c r="B6" s="19">
        <v>8.0</v>
      </c>
      <c r="C6" s="19">
        <v>7.0</v>
      </c>
      <c r="D6" s="19">
        <v>3.0</v>
      </c>
      <c r="E6" s="19">
        <v>4.5</v>
      </c>
      <c r="F6" s="19">
        <v>3.5</v>
      </c>
      <c r="G6" s="19">
        <v>4.0</v>
      </c>
      <c r="H6" s="19">
        <v>3.5</v>
      </c>
      <c r="I6" s="19">
        <v>6.0</v>
      </c>
      <c r="J6" s="7"/>
      <c r="K6" s="18"/>
      <c r="L6" s="15" t="s">
        <v>20</v>
      </c>
      <c r="M6" s="15">
        <v>48.5</v>
      </c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8"/>
      <c r="Z6" s="8"/>
    </row>
    <row r="7" ht="15.75" customHeight="1">
      <c r="A7" s="16" t="s">
        <v>17</v>
      </c>
      <c r="B7" s="17">
        <v>11.0</v>
      </c>
      <c r="C7" s="17">
        <v>10.0</v>
      </c>
      <c r="D7" s="17">
        <v>5.0</v>
      </c>
      <c r="E7" s="17">
        <v>6.0</v>
      </c>
      <c r="F7" s="17">
        <v>4.0</v>
      </c>
      <c r="G7" s="17">
        <v>6.0</v>
      </c>
      <c r="H7" s="17">
        <v>3.0</v>
      </c>
      <c r="I7" s="17">
        <v>6.0</v>
      </c>
      <c r="J7" s="7"/>
      <c r="K7" s="18"/>
      <c r="L7" s="15" t="s">
        <v>21</v>
      </c>
      <c r="M7" s="15">
        <v>48.25</v>
      </c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8"/>
      <c r="Z7" s="8"/>
    </row>
    <row r="8" ht="15.75" customHeight="1">
      <c r="A8" s="16" t="s">
        <v>22</v>
      </c>
      <c r="B8" s="19">
        <v>8.0</v>
      </c>
      <c r="C8" s="19">
        <v>7.0</v>
      </c>
      <c r="D8" s="19">
        <v>5.0</v>
      </c>
      <c r="E8" s="19">
        <v>3.0</v>
      </c>
      <c r="F8" s="19">
        <v>2.5</v>
      </c>
      <c r="G8" s="19">
        <v>4.5</v>
      </c>
      <c r="H8" s="19">
        <v>2.5</v>
      </c>
      <c r="I8" s="19">
        <v>6.0</v>
      </c>
      <c r="J8" s="7"/>
      <c r="K8" s="18"/>
      <c r="L8" s="15" t="s">
        <v>23</v>
      </c>
      <c r="M8" s="15">
        <v>46.75</v>
      </c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8"/>
      <c r="Z8" s="8"/>
    </row>
    <row r="9" ht="15.75" customHeight="1">
      <c r="A9" s="16" t="s">
        <v>24</v>
      </c>
      <c r="B9" s="17">
        <v>8.0</v>
      </c>
      <c r="C9" s="17">
        <v>8.0</v>
      </c>
      <c r="D9" s="17">
        <v>3.5</v>
      </c>
      <c r="E9" s="17">
        <v>4.5</v>
      </c>
      <c r="F9" s="17">
        <v>4.0</v>
      </c>
      <c r="G9" s="17">
        <v>4.0</v>
      </c>
      <c r="H9" s="17">
        <v>4.5</v>
      </c>
      <c r="I9" s="17">
        <v>4.5</v>
      </c>
      <c r="J9" s="7"/>
      <c r="K9" s="18"/>
      <c r="L9" s="15" t="s">
        <v>25</v>
      </c>
      <c r="M9" s="15">
        <v>46.5</v>
      </c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8"/>
      <c r="Z9" s="8"/>
    </row>
    <row r="10" ht="15.75" customHeight="1">
      <c r="A10" s="16" t="s">
        <v>26</v>
      </c>
      <c r="B10" s="19">
        <v>8.0</v>
      </c>
      <c r="C10" s="19">
        <v>7.5</v>
      </c>
      <c r="D10" s="19">
        <v>4.5</v>
      </c>
      <c r="E10" s="19">
        <v>5.0</v>
      </c>
      <c r="F10" s="19">
        <v>3.0</v>
      </c>
      <c r="G10" s="19">
        <v>4.5</v>
      </c>
      <c r="H10" s="19">
        <v>4.0</v>
      </c>
      <c r="I10" s="19">
        <v>5.0</v>
      </c>
      <c r="J10" s="7"/>
      <c r="K10" s="18"/>
      <c r="L10" s="15" t="s">
        <v>27</v>
      </c>
      <c r="M10" s="15">
        <v>44.5</v>
      </c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8"/>
      <c r="Z10" s="8"/>
    </row>
    <row r="11" ht="15.75" customHeight="1">
      <c r="A11" s="16" t="s">
        <v>28</v>
      </c>
      <c r="B11" s="17">
        <v>8.0</v>
      </c>
      <c r="C11" s="17">
        <v>7.0</v>
      </c>
      <c r="D11" s="17">
        <v>3.0</v>
      </c>
      <c r="E11" s="17">
        <v>3.5</v>
      </c>
      <c r="F11" s="17">
        <v>4.0</v>
      </c>
      <c r="G11" s="17">
        <v>3.5</v>
      </c>
      <c r="H11" s="17">
        <v>3.25</v>
      </c>
      <c r="I11" s="17">
        <v>6.0</v>
      </c>
      <c r="J11" s="7"/>
      <c r="K11" s="18"/>
      <c r="L11" s="15" t="s">
        <v>29</v>
      </c>
      <c r="M11" s="15">
        <v>43.0</v>
      </c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8"/>
      <c r="Z11" s="8"/>
    </row>
    <row r="12" ht="15.75" customHeight="1">
      <c r="A12" s="16" t="s">
        <v>30</v>
      </c>
      <c r="B12" s="19">
        <v>9.5</v>
      </c>
      <c r="C12" s="19">
        <v>9.0</v>
      </c>
      <c r="D12" s="19">
        <v>5.0</v>
      </c>
      <c r="E12" s="19">
        <v>5.0</v>
      </c>
      <c r="F12" s="19">
        <v>4.0</v>
      </c>
      <c r="G12" s="19">
        <v>5.0</v>
      </c>
      <c r="H12" s="19">
        <v>3.0</v>
      </c>
      <c r="I12" s="19">
        <v>6.0</v>
      </c>
      <c r="J12" s="7"/>
      <c r="K12" s="18"/>
      <c r="L12" s="15" t="s">
        <v>26</v>
      </c>
      <c r="M12" s="15">
        <v>41.5</v>
      </c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8"/>
      <c r="Z12" s="8"/>
    </row>
    <row r="13" ht="15.75" customHeight="1">
      <c r="A13" s="16" t="s">
        <v>31</v>
      </c>
      <c r="B13" s="17">
        <v>7.5</v>
      </c>
      <c r="C13" s="17">
        <v>7.25</v>
      </c>
      <c r="D13" s="17">
        <v>3.0</v>
      </c>
      <c r="E13" s="17">
        <v>3.0</v>
      </c>
      <c r="F13" s="17">
        <v>2.0</v>
      </c>
      <c r="G13" s="17">
        <v>4.5</v>
      </c>
      <c r="H13" s="17">
        <v>3.0</v>
      </c>
      <c r="I13" s="17">
        <v>6.0</v>
      </c>
      <c r="J13" s="7"/>
      <c r="K13" s="18"/>
      <c r="L13" s="15" t="s">
        <v>32</v>
      </c>
      <c r="M13" s="15">
        <v>42.25</v>
      </c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8"/>
      <c r="Z13" s="8"/>
    </row>
    <row r="14" ht="15.75" customHeight="1">
      <c r="A14" s="16" t="s">
        <v>33</v>
      </c>
      <c r="B14" s="19">
        <v>8.0</v>
      </c>
      <c r="C14" s="19">
        <v>7.0</v>
      </c>
      <c r="D14" s="19">
        <v>3.0</v>
      </c>
      <c r="E14" s="19">
        <v>3.0</v>
      </c>
      <c r="F14" s="19">
        <v>4.0</v>
      </c>
      <c r="G14" s="19">
        <v>3.5</v>
      </c>
      <c r="H14" s="19">
        <v>3.0</v>
      </c>
      <c r="I14" s="19">
        <v>6.0</v>
      </c>
      <c r="J14" s="7"/>
      <c r="K14" s="18"/>
      <c r="L14" s="15" t="s">
        <v>24</v>
      </c>
      <c r="M14" s="15">
        <v>41.0</v>
      </c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8"/>
      <c r="Z14" s="8"/>
    </row>
    <row r="15" ht="15.75" customHeight="1">
      <c r="A15" s="16" t="s">
        <v>34</v>
      </c>
      <c r="B15" s="17">
        <v>8.0</v>
      </c>
      <c r="C15" s="17">
        <v>8.25</v>
      </c>
      <c r="D15" s="17">
        <v>4.0</v>
      </c>
      <c r="E15" s="17">
        <v>4.0</v>
      </c>
      <c r="F15" s="17">
        <v>3.0</v>
      </c>
      <c r="G15" s="17">
        <v>4.0</v>
      </c>
      <c r="H15" s="17">
        <v>5.0</v>
      </c>
      <c r="I15" s="17">
        <v>6.0</v>
      </c>
      <c r="J15" s="7"/>
      <c r="K15" s="18"/>
      <c r="L15" s="15" t="s">
        <v>35</v>
      </c>
      <c r="M15" s="15">
        <v>41.0</v>
      </c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8"/>
      <c r="Z15" s="8"/>
    </row>
    <row r="16" ht="15.75" customHeight="1">
      <c r="A16" s="16" t="s">
        <v>20</v>
      </c>
      <c r="B16" s="19">
        <v>9.5</v>
      </c>
      <c r="C16" s="19">
        <v>9.0</v>
      </c>
      <c r="D16" s="19">
        <v>5.0</v>
      </c>
      <c r="E16" s="19">
        <v>5.0</v>
      </c>
      <c r="F16" s="19">
        <v>4.5</v>
      </c>
      <c r="G16" s="19">
        <v>5.5</v>
      </c>
      <c r="H16" s="19">
        <v>4.0</v>
      </c>
      <c r="I16" s="19">
        <v>6.0</v>
      </c>
      <c r="J16" s="7"/>
      <c r="K16" s="18"/>
      <c r="L16" s="15" t="s">
        <v>19</v>
      </c>
      <c r="M16" s="15">
        <v>39.5</v>
      </c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8"/>
      <c r="Z16" s="8"/>
    </row>
    <row r="17" ht="15.75" customHeight="1">
      <c r="A17" s="16" t="s">
        <v>35</v>
      </c>
      <c r="B17" s="17">
        <v>9.0</v>
      </c>
      <c r="C17" s="17">
        <v>8.5</v>
      </c>
      <c r="D17" s="17">
        <v>4.0</v>
      </c>
      <c r="E17" s="17">
        <v>4.0</v>
      </c>
      <c r="F17" s="17">
        <v>3.0</v>
      </c>
      <c r="G17" s="17">
        <v>4.5</v>
      </c>
      <c r="H17" s="17">
        <v>3.0</v>
      </c>
      <c r="I17" s="17">
        <v>5.0</v>
      </c>
      <c r="J17" s="7"/>
      <c r="K17" s="18"/>
      <c r="L17" s="15" t="s">
        <v>22</v>
      </c>
      <c r="M17" s="15">
        <v>38.5</v>
      </c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8"/>
      <c r="Z17" s="8"/>
    </row>
    <row r="18" ht="15.75" customHeight="1">
      <c r="A18" s="16" t="s">
        <v>36</v>
      </c>
      <c r="B18" s="19">
        <v>6.5</v>
      </c>
      <c r="C18" s="19">
        <v>8.0</v>
      </c>
      <c r="D18" s="19">
        <v>3.0</v>
      </c>
      <c r="E18" s="19">
        <v>3.0</v>
      </c>
      <c r="F18" s="19">
        <v>2.0</v>
      </c>
      <c r="G18" s="19">
        <v>4.25</v>
      </c>
      <c r="H18" s="19">
        <v>3.0</v>
      </c>
      <c r="I18" s="19">
        <v>6.0</v>
      </c>
      <c r="J18" s="7"/>
      <c r="K18" s="18"/>
      <c r="L18" s="15" t="s">
        <v>37</v>
      </c>
      <c r="M18" s="15">
        <v>38.5</v>
      </c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8"/>
      <c r="Z18" s="8"/>
    </row>
    <row r="19" ht="15.75" customHeight="1">
      <c r="A19" s="16" t="s">
        <v>23</v>
      </c>
      <c r="B19" s="17">
        <v>9.25</v>
      </c>
      <c r="C19" s="17">
        <v>8.0</v>
      </c>
      <c r="D19" s="17">
        <v>4.5</v>
      </c>
      <c r="E19" s="17">
        <v>5.0</v>
      </c>
      <c r="F19" s="17">
        <v>4.5</v>
      </c>
      <c r="G19" s="17">
        <v>5.5</v>
      </c>
      <c r="H19" s="17">
        <v>4.0</v>
      </c>
      <c r="I19" s="17">
        <v>6.0</v>
      </c>
      <c r="J19" s="7"/>
      <c r="K19" s="18"/>
      <c r="L19" s="15" t="s">
        <v>28</v>
      </c>
      <c r="M19" s="15">
        <v>38.25</v>
      </c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8"/>
      <c r="Z19" s="8"/>
    </row>
    <row r="20" ht="15.75" customHeight="1">
      <c r="A20" s="16" t="s">
        <v>38</v>
      </c>
      <c r="B20" s="19">
        <v>8.0</v>
      </c>
      <c r="C20" s="19">
        <v>7.0</v>
      </c>
      <c r="D20" s="19">
        <v>3.0</v>
      </c>
      <c r="E20" s="19">
        <v>3.0</v>
      </c>
      <c r="F20" s="19">
        <v>2.0</v>
      </c>
      <c r="G20" s="19">
        <v>4.5</v>
      </c>
      <c r="H20" s="19">
        <v>4.0</v>
      </c>
      <c r="I20" s="19">
        <v>6.0</v>
      </c>
      <c r="J20" s="7"/>
      <c r="K20" s="18"/>
      <c r="L20" s="15" t="s">
        <v>39</v>
      </c>
      <c r="M20" s="15">
        <v>37.5</v>
      </c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8"/>
      <c r="Z20" s="8"/>
    </row>
    <row r="21" ht="15.75" customHeight="1">
      <c r="A21" s="16" t="s">
        <v>21</v>
      </c>
      <c r="B21" s="20">
        <v>9.0</v>
      </c>
      <c r="C21" s="20">
        <v>9.0</v>
      </c>
      <c r="D21" s="20">
        <v>4.75</v>
      </c>
      <c r="E21" s="20">
        <v>4.5</v>
      </c>
      <c r="F21" s="20">
        <v>5.0</v>
      </c>
      <c r="G21" s="20">
        <v>5.5</v>
      </c>
      <c r="H21" s="20">
        <v>4.5</v>
      </c>
      <c r="I21" s="20">
        <v>6.0</v>
      </c>
      <c r="J21" s="7"/>
      <c r="K21" s="18"/>
      <c r="L21" s="15" t="s">
        <v>38</v>
      </c>
      <c r="M21" s="15">
        <v>37.5</v>
      </c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8"/>
      <c r="Z21" s="8"/>
    </row>
    <row r="22" ht="15.75" customHeight="1">
      <c r="A22" s="16" t="s">
        <v>40</v>
      </c>
      <c r="B22" s="19">
        <v>9.0</v>
      </c>
      <c r="C22" s="19">
        <v>9.0</v>
      </c>
      <c r="D22" s="19">
        <v>3.0</v>
      </c>
      <c r="E22" s="19">
        <v>4.5</v>
      </c>
      <c r="F22" s="19">
        <v>3.5</v>
      </c>
      <c r="G22" s="19">
        <v>4.5</v>
      </c>
      <c r="H22" s="19">
        <v>5.0</v>
      </c>
      <c r="I22" s="19">
        <v>6.0</v>
      </c>
      <c r="J22" s="7"/>
      <c r="K22" s="18"/>
      <c r="L22" s="15" t="s">
        <v>31</v>
      </c>
      <c r="M22" s="15">
        <v>36.25</v>
      </c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8"/>
      <c r="Z22" s="8"/>
    </row>
    <row r="23" ht="15.75" customHeight="1">
      <c r="A23" s="16" t="s">
        <v>37</v>
      </c>
      <c r="B23" s="20">
        <v>9.0</v>
      </c>
      <c r="C23" s="20">
        <v>9.0</v>
      </c>
      <c r="D23" s="20">
        <v>2.5</v>
      </c>
      <c r="E23" s="20">
        <v>3.0</v>
      </c>
      <c r="F23" s="20">
        <v>2.5</v>
      </c>
      <c r="G23" s="20">
        <v>3.5</v>
      </c>
      <c r="H23" s="20">
        <v>3.0</v>
      </c>
      <c r="I23" s="20">
        <v>6.0</v>
      </c>
      <c r="J23" s="7"/>
      <c r="K23" s="18"/>
      <c r="L23" s="15" t="s">
        <v>41</v>
      </c>
      <c r="M23" s="15">
        <v>35.75</v>
      </c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8"/>
      <c r="Z23" s="8"/>
    </row>
    <row r="24" ht="15.75" customHeight="1">
      <c r="A24" s="16" t="s">
        <v>42</v>
      </c>
      <c r="B24" s="19">
        <v>8.0</v>
      </c>
      <c r="C24" s="19">
        <v>8.0</v>
      </c>
      <c r="D24" s="19">
        <v>2.0</v>
      </c>
      <c r="E24" s="19">
        <v>2.0</v>
      </c>
      <c r="F24" s="19">
        <v>2.0</v>
      </c>
      <c r="G24" s="19">
        <v>3.5</v>
      </c>
      <c r="H24" s="19">
        <v>3.0</v>
      </c>
      <c r="I24" s="19">
        <v>6.0</v>
      </c>
      <c r="J24" s="7"/>
      <c r="K24" s="18"/>
      <c r="L24" s="15" t="s">
        <v>42</v>
      </c>
      <c r="M24" s="15">
        <v>34.5</v>
      </c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8"/>
      <c r="Z24" s="8"/>
    </row>
    <row r="25" ht="15.75" customHeight="1">
      <c r="A25" s="16" t="s">
        <v>15</v>
      </c>
      <c r="B25" s="20">
        <v>10.0</v>
      </c>
      <c r="C25" s="20">
        <v>10.0</v>
      </c>
      <c r="D25" s="20">
        <v>5.0</v>
      </c>
      <c r="E25" s="20">
        <v>6.0</v>
      </c>
      <c r="F25" s="20">
        <v>6.0</v>
      </c>
      <c r="G25" s="20">
        <v>5.0</v>
      </c>
      <c r="H25" s="20">
        <v>5.0</v>
      </c>
      <c r="I25" s="20">
        <v>6.0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8"/>
      <c r="Z25" s="8"/>
    </row>
    <row r="26" ht="15.75" customHeight="1">
      <c r="A26" s="21"/>
      <c r="B26" s="22"/>
      <c r="C26" s="22"/>
      <c r="D26" s="22"/>
      <c r="E26" s="22"/>
      <c r="F26" s="22"/>
      <c r="G26" s="22"/>
      <c r="H26" s="22"/>
      <c r="I26" s="22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8"/>
      <c r="Z26" s="8"/>
    </row>
    <row r="27" ht="15.75" customHeight="1">
      <c r="A27" s="9"/>
      <c r="B27" s="9"/>
      <c r="C27" s="9"/>
      <c r="D27" s="9"/>
      <c r="E27" s="9"/>
      <c r="F27" s="9"/>
      <c r="G27" s="9"/>
      <c r="H27" s="9"/>
      <c r="I27" s="9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8"/>
      <c r="Z27" s="8"/>
    </row>
    <row r="28" ht="15.75" customHeight="1">
      <c r="A28" s="23" t="s">
        <v>43</v>
      </c>
      <c r="B28" s="23" t="s">
        <v>14</v>
      </c>
      <c r="C28" s="23" t="s">
        <v>16</v>
      </c>
      <c r="D28" s="23" t="s">
        <v>18</v>
      </c>
      <c r="E28" s="23" t="s">
        <v>19</v>
      </c>
      <c r="F28" s="23" t="s">
        <v>17</v>
      </c>
      <c r="G28" s="23" t="s">
        <v>22</v>
      </c>
      <c r="H28" s="23" t="s">
        <v>24</v>
      </c>
      <c r="I28" s="23" t="s">
        <v>26</v>
      </c>
      <c r="J28" s="23" t="s">
        <v>28</v>
      </c>
      <c r="K28" s="23" t="s">
        <v>30</v>
      </c>
      <c r="L28" s="23" t="s">
        <v>31</v>
      </c>
      <c r="M28" s="23" t="s">
        <v>33</v>
      </c>
      <c r="N28" s="23" t="s">
        <v>34</v>
      </c>
      <c r="O28" s="23" t="s">
        <v>20</v>
      </c>
      <c r="P28" s="23" t="s">
        <v>35</v>
      </c>
      <c r="Q28" s="23" t="s">
        <v>36</v>
      </c>
      <c r="R28" s="23" t="s">
        <v>23</v>
      </c>
      <c r="S28" s="23" t="s">
        <v>38</v>
      </c>
      <c r="T28" s="23" t="s">
        <v>21</v>
      </c>
      <c r="U28" s="23" t="s">
        <v>40</v>
      </c>
      <c r="V28" s="23" t="s">
        <v>37</v>
      </c>
      <c r="W28" s="23" t="s">
        <v>42</v>
      </c>
      <c r="X28" s="23" t="s">
        <v>15</v>
      </c>
      <c r="Y28" s="24"/>
      <c r="Z28" s="24"/>
    </row>
    <row r="29" ht="15.75" customHeight="1">
      <c r="A29" s="25" t="s">
        <v>1</v>
      </c>
      <c r="B29" s="26">
        <f t="shared" ref="B29:X29" si="1">SUM(INDIRECT("B"&amp;COLUMN(A1)+2&amp;":C"&amp;COLUMN(A1)+2))</f>
        <v>16</v>
      </c>
      <c r="C29" s="26">
        <f t="shared" si="1"/>
        <v>21.5</v>
      </c>
      <c r="D29" s="26">
        <f t="shared" si="1"/>
        <v>20.5</v>
      </c>
      <c r="E29" s="26">
        <f t="shared" si="1"/>
        <v>15</v>
      </c>
      <c r="F29" s="26">
        <f t="shared" si="1"/>
        <v>21</v>
      </c>
      <c r="G29" s="26">
        <f t="shared" si="1"/>
        <v>15</v>
      </c>
      <c r="H29" s="26">
        <f t="shared" si="1"/>
        <v>16</v>
      </c>
      <c r="I29" s="26">
        <f t="shared" si="1"/>
        <v>15.5</v>
      </c>
      <c r="J29" s="26">
        <f t="shared" si="1"/>
        <v>15</v>
      </c>
      <c r="K29" s="26">
        <f t="shared" si="1"/>
        <v>18.5</v>
      </c>
      <c r="L29" s="26">
        <f t="shared" si="1"/>
        <v>14.75</v>
      </c>
      <c r="M29" s="26">
        <f t="shared" si="1"/>
        <v>15</v>
      </c>
      <c r="N29" s="26">
        <f t="shared" si="1"/>
        <v>16.25</v>
      </c>
      <c r="O29" s="26">
        <f t="shared" si="1"/>
        <v>18.5</v>
      </c>
      <c r="P29" s="26">
        <f t="shared" si="1"/>
        <v>17.5</v>
      </c>
      <c r="Q29" s="26">
        <f t="shared" si="1"/>
        <v>14.5</v>
      </c>
      <c r="R29" s="26">
        <f t="shared" si="1"/>
        <v>17.25</v>
      </c>
      <c r="S29" s="26">
        <f t="shared" si="1"/>
        <v>15</v>
      </c>
      <c r="T29" s="26">
        <f t="shared" si="1"/>
        <v>18</v>
      </c>
      <c r="U29" s="26">
        <f t="shared" si="1"/>
        <v>18</v>
      </c>
      <c r="V29" s="26">
        <f t="shared" si="1"/>
        <v>18</v>
      </c>
      <c r="W29" s="26">
        <f t="shared" si="1"/>
        <v>16</v>
      </c>
      <c r="X29" s="26">
        <f t="shared" si="1"/>
        <v>20</v>
      </c>
      <c r="Y29" s="27"/>
      <c r="Z29" s="27"/>
    </row>
    <row r="30" ht="15.75" customHeight="1">
      <c r="A30" s="28" t="s">
        <v>2</v>
      </c>
      <c r="B30" s="26">
        <f t="shared" ref="B30:X30" si="2">SUM(INDIRECT("D"&amp;COLUMN(A1)+2&amp;":F"&amp;COLUMN(A1)+2))</f>
        <v>12</v>
      </c>
      <c r="C30" s="26">
        <f t="shared" si="2"/>
        <v>17</v>
      </c>
      <c r="D30" s="26">
        <f t="shared" si="2"/>
        <v>13.5</v>
      </c>
      <c r="E30" s="26">
        <f t="shared" si="2"/>
        <v>11</v>
      </c>
      <c r="F30" s="26">
        <f t="shared" si="2"/>
        <v>15</v>
      </c>
      <c r="G30" s="26">
        <f t="shared" si="2"/>
        <v>10.5</v>
      </c>
      <c r="H30" s="26">
        <f t="shared" si="2"/>
        <v>12</v>
      </c>
      <c r="I30" s="26">
        <f t="shared" si="2"/>
        <v>12.5</v>
      </c>
      <c r="J30" s="26">
        <f t="shared" si="2"/>
        <v>10.5</v>
      </c>
      <c r="K30" s="26">
        <f t="shared" si="2"/>
        <v>14</v>
      </c>
      <c r="L30" s="26">
        <f t="shared" si="2"/>
        <v>8</v>
      </c>
      <c r="M30" s="26">
        <f t="shared" si="2"/>
        <v>10</v>
      </c>
      <c r="N30" s="26">
        <f t="shared" si="2"/>
        <v>11</v>
      </c>
      <c r="O30" s="26">
        <f t="shared" si="2"/>
        <v>14.5</v>
      </c>
      <c r="P30" s="26">
        <f t="shared" si="2"/>
        <v>11</v>
      </c>
      <c r="Q30" s="26">
        <f t="shared" si="2"/>
        <v>8</v>
      </c>
      <c r="R30" s="26">
        <f t="shared" si="2"/>
        <v>14</v>
      </c>
      <c r="S30" s="26">
        <f t="shared" si="2"/>
        <v>8</v>
      </c>
      <c r="T30" s="26">
        <f t="shared" si="2"/>
        <v>14.25</v>
      </c>
      <c r="U30" s="26">
        <f t="shared" si="2"/>
        <v>11</v>
      </c>
      <c r="V30" s="26">
        <f t="shared" si="2"/>
        <v>8</v>
      </c>
      <c r="W30" s="26">
        <f t="shared" si="2"/>
        <v>6</v>
      </c>
      <c r="X30" s="26">
        <f t="shared" si="2"/>
        <v>17</v>
      </c>
      <c r="Y30" s="27"/>
      <c r="Z30" s="27"/>
    </row>
    <row r="31" ht="15.75" customHeight="1">
      <c r="A31" s="29" t="s">
        <v>3</v>
      </c>
      <c r="B31" s="26">
        <f t="shared" ref="B31:X31" si="3">SUM(INDIRECT("G"&amp;COLUMN(A1)+2&amp;":H"&amp;COLUMN(A1)+2))</f>
        <v>9</v>
      </c>
      <c r="C31" s="26">
        <f t="shared" si="3"/>
        <v>11</v>
      </c>
      <c r="D31" s="26">
        <f t="shared" si="3"/>
        <v>9.25</v>
      </c>
      <c r="E31" s="26">
        <f t="shared" si="3"/>
        <v>7.5</v>
      </c>
      <c r="F31" s="26">
        <f t="shared" si="3"/>
        <v>9</v>
      </c>
      <c r="G31" s="26">
        <f t="shared" si="3"/>
        <v>7</v>
      </c>
      <c r="H31" s="26">
        <f t="shared" si="3"/>
        <v>8.5</v>
      </c>
      <c r="I31" s="26">
        <f t="shared" si="3"/>
        <v>8.5</v>
      </c>
      <c r="J31" s="26">
        <f t="shared" si="3"/>
        <v>6.75</v>
      </c>
      <c r="K31" s="26">
        <f t="shared" si="3"/>
        <v>8</v>
      </c>
      <c r="L31" s="26">
        <f t="shared" si="3"/>
        <v>7.5</v>
      </c>
      <c r="M31" s="26">
        <f t="shared" si="3"/>
        <v>6.5</v>
      </c>
      <c r="N31" s="26">
        <f t="shared" si="3"/>
        <v>9</v>
      </c>
      <c r="O31" s="26">
        <f t="shared" si="3"/>
        <v>9.5</v>
      </c>
      <c r="P31" s="26">
        <f t="shared" si="3"/>
        <v>7.5</v>
      </c>
      <c r="Q31" s="26">
        <f t="shared" si="3"/>
        <v>7.25</v>
      </c>
      <c r="R31" s="26">
        <f t="shared" si="3"/>
        <v>9.5</v>
      </c>
      <c r="S31" s="26">
        <f t="shared" si="3"/>
        <v>8.5</v>
      </c>
      <c r="T31" s="26">
        <f t="shared" si="3"/>
        <v>10</v>
      </c>
      <c r="U31" s="26">
        <f t="shared" si="3"/>
        <v>9.5</v>
      </c>
      <c r="V31" s="26">
        <f t="shared" si="3"/>
        <v>6.5</v>
      </c>
      <c r="W31" s="26">
        <f t="shared" si="3"/>
        <v>6.5</v>
      </c>
      <c r="X31" s="26">
        <f t="shared" si="3"/>
        <v>10</v>
      </c>
      <c r="Y31" s="27"/>
      <c r="Z31" s="27"/>
    </row>
    <row r="32" ht="15.75" customHeight="1">
      <c r="A32" s="30" t="s">
        <v>11</v>
      </c>
      <c r="B32" s="26">
        <f t="array" ref="B32">INDIRECT("I"&amp;COLUMN(A1)+2)</f>
        <v>6</v>
      </c>
      <c r="C32" s="26">
        <f t="array" ref="C32">INDIRECT("I"&amp;COLUMN(B1)+2)</f>
        <v>6</v>
      </c>
      <c r="D32" s="26">
        <f t="array" ref="D32">INDIRECT("I"&amp;COLUMN(C1)+2)</f>
        <v>6</v>
      </c>
      <c r="E32" s="26">
        <f t="array" ref="E32">INDIRECT("I"&amp;COLUMN(D1)+2)</f>
        <v>6</v>
      </c>
      <c r="F32" s="26">
        <f t="array" ref="F32">INDIRECT("I"&amp;COLUMN(E1)+2)</f>
        <v>6</v>
      </c>
      <c r="G32" s="26">
        <f t="array" ref="G32">INDIRECT("I"&amp;COLUMN(F1)+2)</f>
        <v>6</v>
      </c>
      <c r="H32" s="26">
        <f t="array" ref="H32">INDIRECT("I"&amp;COLUMN(G1)+2)</f>
        <v>4.5</v>
      </c>
      <c r="I32" s="26">
        <f t="array" ref="I32">INDIRECT("I"&amp;COLUMN(H1)+2)</f>
        <v>5</v>
      </c>
      <c r="J32" s="26">
        <f t="array" ref="J32">INDIRECT("I"&amp;COLUMN(I1)+2)</f>
        <v>6</v>
      </c>
      <c r="K32" s="26">
        <f t="array" ref="K32">INDIRECT("I"&amp;COLUMN(J1)+2)</f>
        <v>6</v>
      </c>
      <c r="L32" s="26">
        <f t="array" ref="L32">INDIRECT("I"&amp;COLUMN(K1)+2)</f>
        <v>6</v>
      </c>
      <c r="M32" s="26">
        <f t="array" ref="M32">INDIRECT("I"&amp;COLUMN(L1)+2)</f>
        <v>6</v>
      </c>
      <c r="N32" s="26">
        <f t="array" ref="N32">INDIRECT("I"&amp;COLUMN(M1)+2)</f>
        <v>6</v>
      </c>
      <c r="O32" s="26">
        <f t="array" ref="O32">INDIRECT("I"&amp;COLUMN(N1)+2)</f>
        <v>6</v>
      </c>
      <c r="P32" s="26">
        <f t="array" ref="P32">INDIRECT("I"&amp;COLUMN(O1)+2)</f>
        <v>5</v>
      </c>
      <c r="Q32" s="26">
        <f t="array" ref="Q32">INDIRECT("I"&amp;COLUMN(P1)+2)</f>
        <v>6</v>
      </c>
      <c r="R32" s="26">
        <f t="array" ref="R32">INDIRECT("I"&amp;COLUMN(Q1)+2)</f>
        <v>6</v>
      </c>
      <c r="S32" s="26">
        <f t="array" ref="S32">INDIRECT("I"&amp;COLUMN(R1)+2)</f>
        <v>6</v>
      </c>
      <c r="T32" s="26">
        <f t="array" ref="T32">INDIRECT("I"&amp;COLUMN(S1)+2)</f>
        <v>6</v>
      </c>
      <c r="U32" s="26">
        <f t="array" ref="U32">INDIRECT("I"&amp;COLUMN(T1)+2)</f>
        <v>6</v>
      </c>
      <c r="V32" s="26">
        <f t="array" ref="V32">INDIRECT("I"&amp;COLUMN(U1)+2)</f>
        <v>6</v>
      </c>
      <c r="W32" s="26">
        <f t="array" ref="W32">INDIRECT("I"&amp;COLUMN(V1)+2)</f>
        <v>6</v>
      </c>
      <c r="X32" s="26">
        <f t="array" ref="X32">INDIRECT("I"&amp;COLUMN(W1)+2)</f>
        <v>6</v>
      </c>
      <c r="Y32" s="27"/>
      <c r="Z32" s="27"/>
    </row>
    <row r="33" ht="15.75" customHeight="1">
      <c r="A33" s="31" t="s">
        <v>44</v>
      </c>
      <c r="B33" s="32">
        <f t="shared" ref="B33:X33" si="4">SUM(INDIRECT("B"&amp;COLUMN(A1)+2&amp;":I"&amp;COLUMN(A1)+2))</f>
        <v>43</v>
      </c>
      <c r="C33" s="32">
        <f t="shared" si="4"/>
        <v>55.5</v>
      </c>
      <c r="D33" s="32">
        <f t="shared" si="4"/>
        <v>49.25</v>
      </c>
      <c r="E33" s="32">
        <f t="shared" si="4"/>
        <v>39.5</v>
      </c>
      <c r="F33" s="32">
        <f t="shared" si="4"/>
        <v>51</v>
      </c>
      <c r="G33" s="32">
        <f t="shared" si="4"/>
        <v>38.5</v>
      </c>
      <c r="H33" s="32">
        <f t="shared" si="4"/>
        <v>41</v>
      </c>
      <c r="I33" s="32">
        <f t="shared" si="4"/>
        <v>41.5</v>
      </c>
      <c r="J33" s="32">
        <f t="shared" si="4"/>
        <v>38.25</v>
      </c>
      <c r="K33" s="32">
        <f t="shared" si="4"/>
        <v>46.5</v>
      </c>
      <c r="L33" s="32">
        <f t="shared" si="4"/>
        <v>36.25</v>
      </c>
      <c r="M33" s="32">
        <f t="shared" si="4"/>
        <v>37.5</v>
      </c>
      <c r="N33" s="32">
        <f t="shared" si="4"/>
        <v>42.25</v>
      </c>
      <c r="O33" s="32">
        <f t="shared" si="4"/>
        <v>48.5</v>
      </c>
      <c r="P33" s="32">
        <f t="shared" si="4"/>
        <v>41</v>
      </c>
      <c r="Q33" s="32">
        <f t="shared" si="4"/>
        <v>35.75</v>
      </c>
      <c r="R33" s="32">
        <f t="shared" si="4"/>
        <v>46.75</v>
      </c>
      <c r="S33" s="32">
        <f t="shared" si="4"/>
        <v>37.5</v>
      </c>
      <c r="T33" s="32">
        <f t="shared" si="4"/>
        <v>48.25</v>
      </c>
      <c r="U33" s="32">
        <f t="shared" si="4"/>
        <v>44.5</v>
      </c>
      <c r="V33" s="32">
        <f t="shared" si="4"/>
        <v>38.5</v>
      </c>
      <c r="W33" s="32">
        <f t="shared" si="4"/>
        <v>34.5</v>
      </c>
      <c r="X33" s="32">
        <f t="shared" si="4"/>
        <v>53</v>
      </c>
      <c r="Y33" s="27"/>
      <c r="Z33" s="27"/>
    </row>
    <row r="34" ht="15.75" customHeight="1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8"/>
      <c r="Z34" s="8"/>
    </row>
    <row r="35" ht="15.75" customHeight="1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8"/>
      <c r="Z35" s="8"/>
    </row>
    <row r="36" ht="15.75" customHeight="1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8"/>
      <c r="Z36" s="8"/>
    </row>
    <row r="37" ht="15.75" customHeight="1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8"/>
      <c r="Z37" s="8"/>
    </row>
    <row r="38" ht="15.75" customHeight="1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8"/>
      <c r="Z38" s="8"/>
    </row>
    <row r="39" ht="15.75" customHeight="1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8"/>
      <c r="Z39" s="8"/>
    </row>
    <row r="40" ht="15.75" customHeight="1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8"/>
      <c r="Z40" s="8"/>
    </row>
    <row r="41" ht="15.75" customHeight="1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8"/>
      <c r="Z41" s="8"/>
    </row>
    <row r="42" ht="15.75" customHeight="1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8"/>
      <c r="Z42" s="8"/>
    </row>
    <row r="43" ht="15.75" customHeight="1">
      <c r="A43" s="34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8"/>
      <c r="Z43" s="8"/>
    </row>
    <row r="44" ht="15.75" customHeight="1">
      <c r="A44" s="34"/>
      <c r="B44" s="34"/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8"/>
      <c r="Z44" s="8"/>
    </row>
    <row r="45" ht="15.75" customHeight="1">
      <c r="A45" s="34"/>
      <c r="B45" s="34"/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8"/>
      <c r="Z45" s="8"/>
    </row>
    <row r="46" ht="15.75" customHeight="1">
      <c r="A46" s="34"/>
      <c r="B46" s="34"/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8"/>
      <c r="Z46" s="8"/>
    </row>
    <row r="47" ht="15.75" customHeight="1">
      <c r="A47" s="34"/>
      <c r="B47" s="34"/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8"/>
      <c r="Z47" s="8"/>
    </row>
    <row r="48" ht="15.75" customHeight="1">
      <c r="A48" s="34"/>
      <c r="B48" s="34"/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8"/>
      <c r="Z48" s="8"/>
    </row>
    <row r="49" ht="15.75" customHeight="1">
      <c r="A49" s="34"/>
      <c r="B49" s="34"/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8"/>
      <c r="Z49" s="8"/>
    </row>
    <row r="50" ht="15.75" customHeight="1">
      <c r="A50" s="34"/>
      <c r="B50" s="34"/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8"/>
      <c r="Z50" s="8"/>
    </row>
    <row r="51" ht="15.75" customHeight="1">
      <c r="A51" s="34"/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8"/>
      <c r="Z51" s="8"/>
    </row>
    <row r="52" ht="15.75" customHeight="1">
      <c r="A52" s="34"/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8"/>
      <c r="Z52" s="8"/>
    </row>
    <row r="53" ht="15.75" customHeight="1">
      <c r="A53" s="34"/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8"/>
      <c r="Z53" s="8"/>
    </row>
    <row r="54" ht="15.75" customHeight="1">
      <c r="A54" s="34"/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8"/>
      <c r="Z54" s="8"/>
    </row>
    <row r="55" ht="15.75" customHeight="1">
      <c r="A55" s="34"/>
      <c r="B55" s="34"/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8"/>
      <c r="Z55" s="8"/>
    </row>
    <row r="56" ht="15.75" customHeight="1">
      <c r="A56" s="34"/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8"/>
      <c r="Z56" s="8"/>
    </row>
    <row r="57" ht="15.75" customHeight="1">
      <c r="A57" s="34"/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8"/>
      <c r="Z57" s="8"/>
    </row>
    <row r="58" ht="15.75" customHeight="1">
      <c r="A58" s="34"/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8"/>
      <c r="Z58" s="8"/>
    </row>
    <row r="59" ht="15.75" customHeight="1">
      <c r="A59" s="34"/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8"/>
      <c r="Z59" s="8"/>
    </row>
    <row r="60" ht="15.75" customHeight="1">
      <c r="A60" s="34"/>
      <c r="B60" s="34"/>
      <c r="C60" s="34"/>
      <c r="D60" s="34"/>
      <c r="E60" s="34"/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8"/>
      <c r="Z60" s="8"/>
    </row>
    <row r="61" ht="15.75" customHeight="1">
      <c r="A61" s="34"/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8"/>
      <c r="Z61" s="8"/>
    </row>
    <row r="62" ht="15.75" customHeight="1">
      <c r="A62" s="34"/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8"/>
      <c r="Z62" s="8"/>
    </row>
    <row r="63" ht="15.75" customHeight="1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8"/>
      <c r="Z63" s="8"/>
    </row>
    <row r="64" ht="15.75" customHeight="1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8"/>
      <c r="Z64" s="8"/>
    </row>
    <row r="65" ht="15.75" customHeight="1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8"/>
      <c r="Z65" s="8"/>
    </row>
    <row r="66" ht="15.75" customHeight="1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8"/>
      <c r="Z66" s="8"/>
    </row>
    <row r="67" ht="15.75" customHeight="1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8"/>
      <c r="Z67" s="8"/>
    </row>
    <row r="68" ht="15.75" customHeight="1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8"/>
      <c r="Z68" s="8"/>
    </row>
    <row r="69" ht="15.75" customHeight="1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8"/>
      <c r="Z69" s="8"/>
    </row>
    <row r="70" ht="15.75" customHeight="1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8"/>
      <c r="Z70" s="8"/>
    </row>
    <row r="71" ht="15.75" customHeight="1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8"/>
      <c r="Z71" s="8"/>
    </row>
    <row r="72" ht="15.75" customHeight="1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8"/>
      <c r="Z72" s="8"/>
    </row>
    <row r="73" ht="15.75" customHeight="1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8"/>
      <c r="Z73" s="8"/>
    </row>
    <row r="74" ht="15.75" customHeight="1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8"/>
      <c r="Z74" s="8"/>
    </row>
    <row r="75" ht="15.75" customHeight="1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8"/>
      <c r="Z75" s="8"/>
    </row>
    <row r="76" ht="15.75" customHeight="1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8"/>
      <c r="Z76" s="8"/>
    </row>
    <row r="77" ht="15.75" customHeight="1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8"/>
      <c r="Z77" s="8"/>
    </row>
    <row r="78" ht="15.75" customHeight="1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8"/>
      <c r="Z78" s="8"/>
    </row>
    <row r="79" ht="15.75" customHeight="1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8"/>
      <c r="Z79" s="8"/>
    </row>
    <row r="80" ht="15.75" customHeight="1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8"/>
      <c r="Z80" s="8"/>
    </row>
    <row r="81" ht="15.75" customHeight="1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8"/>
      <c r="Z81" s="8"/>
    </row>
    <row r="82" ht="15.75" customHeight="1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8"/>
      <c r="Z82" s="8"/>
    </row>
    <row r="83" ht="15.75" customHeight="1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8"/>
      <c r="Z83" s="8"/>
    </row>
    <row r="84" ht="15.75" customHeight="1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8"/>
      <c r="Z84" s="8"/>
    </row>
    <row r="85" ht="15.75" customHeight="1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8"/>
      <c r="Z85" s="8"/>
    </row>
    <row r="86" ht="15.75" customHeight="1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8"/>
      <c r="Z86" s="8"/>
    </row>
    <row r="87" ht="15.75" customHeight="1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8"/>
      <c r="Z87" s="8"/>
    </row>
    <row r="88" ht="15.75" customHeight="1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8"/>
      <c r="Z88" s="8"/>
    </row>
    <row r="89" ht="15.75" customHeight="1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8"/>
      <c r="Z89" s="8"/>
    </row>
    <row r="90" ht="15.75" customHeight="1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8"/>
      <c r="Z90" s="8"/>
    </row>
    <row r="91" ht="15.75" customHeight="1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8"/>
      <c r="Z91" s="8"/>
    </row>
    <row r="92" ht="15.75" customHeight="1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8"/>
      <c r="Z92" s="8"/>
    </row>
    <row r="93" ht="15.75" customHeight="1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8"/>
      <c r="Z93" s="8"/>
    </row>
    <row r="94" ht="15.75" customHeight="1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8"/>
      <c r="Z94" s="8"/>
    </row>
    <row r="95" ht="15.75" customHeight="1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8"/>
      <c r="Z95" s="8"/>
    </row>
    <row r="96" ht="15.75" customHeight="1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8"/>
      <c r="Z96" s="8"/>
    </row>
    <row r="97" ht="15.75" customHeight="1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8"/>
      <c r="Z97" s="8"/>
    </row>
    <row r="98" ht="15.75" customHeight="1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8"/>
      <c r="Z98" s="8"/>
    </row>
    <row r="99" ht="15.75" customHeight="1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8"/>
      <c r="Z99" s="8"/>
    </row>
    <row r="100" ht="15.75" customHeight="1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8"/>
      <c r="Z100" s="8"/>
    </row>
    <row r="101" ht="15.75" customHeight="1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8"/>
      <c r="Z101" s="8"/>
    </row>
    <row r="102" ht="15.75" customHeight="1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8"/>
      <c r="Z102" s="8"/>
    </row>
    <row r="103" ht="15.75" customHeight="1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8"/>
      <c r="Z103" s="8"/>
    </row>
    <row r="104" ht="15.75" customHeight="1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8"/>
      <c r="Z104" s="8"/>
    </row>
    <row r="105" ht="15.75" customHeight="1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8"/>
      <c r="Z105" s="8"/>
    </row>
    <row r="106" ht="15.75" customHeight="1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8"/>
      <c r="Z106" s="8"/>
    </row>
    <row r="107" ht="15.75" customHeight="1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8"/>
      <c r="Z107" s="8"/>
    </row>
    <row r="108" ht="15.75" customHeight="1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8"/>
      <c r="Z108" s="8"/>
    </row>
    <row r="109" ht="15.75" customHeight="1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8"/>
      <c r="Z109" s="8"/>
    </row>
    <row r="110" ht="15.75" customHeight="1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8"/>
      <c r="Z110" s="8"/>
    </row>
    <row r="111" ht="15.75" customHeight="1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8"/>
      <c r="Z111" s="8"/>
    </row>
    <row r="112" ht="15.75" customHeight="1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8"/>
      <c r="Z112" s="8"/>
    </row>
    <row r="113" ht="15.75" customHeight="1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8"/>
      <c r="Z113" s="8"/>
    </row>
    <row r="114" ht="15.75" customHeight="1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8"/>
      <c r="Z114" s="8"/>
    </row>
    <row r="115" ht="15.75" customHeight="1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8"/>
      <c r="Z115" s="8"/>
    </row>
    <row r="116" ht="15.75" customHeight="1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8"/>
      <c r="Z116" s="8"/>
    </row>
    <row r="117" ht="15.75" customHeight="1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8"/>
      <c r="Z117" s="8"/>
    </row>
    <row r="118" ht="15.75" customHeight="1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8"/>
      <c r="Z118" s="8"/>
    </row>
    <row r="119" ht="15.75" customHeight="1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8"/>
      <c r="Z119" s="8"/>
    </row>
    <row r="120" ht="15.75" customHeight="1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8"/>
      <c r="Z120" s="8"/>
    </row>
    <row r="121" ht="15.75" customHeight="1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8"/>
      <c r="Z121" s="8"/>
    </row>
    <row r="122" ht="15.75" customHeight="1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8"/>
      <c r="Z122" s="8"/>
    </row>
    <row r="123" ht="15.75" customHeight="1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8"/>
      <c r="Z123" s="8"/>
    </row>
    <row r="124" ht="15.75" customHeight="1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8"/>
      <c r="Z124" s="8"/>
    </row>
    <row r="125" ht="15.75" customHeight="1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8"/>
      <c r="Z125" s="8"/>
    </row>
    <row r="126" ht="15.75" customHeight="1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8"/>
      <c r="Z126" s="8"/>
    </row>
    <row r="127" ht="15.75" customHeight="1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8"/>
      <c r="Z127" s="8"/>
    </row>
    <row r="128" ht="15.75" customHeight="1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8"/>
      <c r="Z128" s="8"/>
    </row>
    <row r="129" ht="15.75" customHeight="1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8"/>
      <c r="Z129" s="8"/>
    </row>
    <row r="130" ht="15.75" customHeight="1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8"/>
      <c r="Z130" s="8"/>
    </row>
    <row r="131" ht="15.75" customHeight="1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8"/>
      <c r="Z131" s="8"/>
    </row>
    <row r="132" ht="15.75" customHeight="1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8"/>
      <c r="Z132" s="8"/>
    </row>
    <row r="133" ht="15.75" customHeight="1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8"/>
      <c r="Z133" s="8"/>
    </row>
    <row r="134" ht="15.75" customHeight="1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8"/>
      <c r="Z134" s="8"/>
    </row>
    <row r="135" ht="15.75" customHeight="1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8"/>
      <c r="Z135" s="8"/>
    </row>
    <row r="136" ht="15.75" customHeight="1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8"/>
      <c r="Z136" s="8"/>
    </row>
    <row r="137" ht="15.75" customHeight="1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8"/>
      <c r="Z137" s="8"/>
    </row>
    <row r="138" ht="15.75" customHeight="1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8"/>
      <c r="Z138" s="8"/>
    </row>
    <row r="139" ht="15.75" customHeight="1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8"/>
      <c r="Z139" s="8"/>
    </row>
    <row r="140" ht="15.75" customHeight="1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8"/>
      <c r="Z140" s="8"/>
    </row>
    <row r="141" ht="15.75" customHeight="1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8"/>
      <c r="Z141" s="8"/>
    </row>
    <row r="142" ht="15.75" customHeight="1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8"/>
      <c r="Z142" s="8"/>
    </row>
    <row r="143" ht="15.75" customHeight="1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8"/>
      <c r="Z143" s="8"/>
    </row>
    <row r="144" ht="15.75" customHeight="1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8"/>
      <c r="Z144" s="8"/>
    </row>
    <row r="145" ht="15.75" customHeight="1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8"/>
      <c r="Z145" s="8"/>
    </row>
    <row r="146" ht="15.75" customHeight="1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8"/>
      <c r="Z146" s="8"/>
    </row>
    <row r="147" ht="15.75" customHeight="1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8"/>
      <c r="Z147" s="8"/>
    </row>
    <row r="148" ht="15.75" customHeight="1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8"/>
      <c r="Z148" s="8"/>
    </row>
    <row r="149" ht="15.75" customHeight="1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8"/>
      <c r="Z149" s="8"/>
    </row>
    <row r="150" ht="15.75" customHeight="1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8"/>
      <c r="Z150" s="8"/>
    </row>
    <row r="151" ht="15.75" customHeight="1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8"/>
      <c r="Z151" s="8"/>
    </row>
    <row r="152" ht="15.75" customHeight="1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8"/>
      <c r="Z152" s="8"/>
    </row>
    <row r="153" ht="15.75" customHeight="1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8"/>
      <c r="Z153" s="8"/>
    </row>
    <row r="154" ht="15.75" customHeight="1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8"/>
      <c r="Z154" s="8"/>
    </row>
    <row r="155" ht="15.75" customHeight="1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8"/>
      <c r="Z155" s="8"/>
    </row>
    <row r="156" ht="15.75" customHeight="1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8"/>
      <c r="Z156" s="8"/>
    </row>
    <row r="157" ht="15.75" customHeight="1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8"/>
      <c r="Z157" s="8"/>
    </row>
    <row r="158" ht="15.75" customHeight="1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8"/>
      <c r="Z158" s="8"/>
    </row>
    <row r="159" ht="15.75" customHeight="1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8"/>
      <c r="Z159" s="8"/>
    </row>
    <row r="160" ht="15.75" customHeight="1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8"/>
      <c r="Z160" s="8"/>
    </row>
    <row r="161" ht="15.75" customHeight="1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8"/>
      <c r="Z161" s="8"/>
    </row>
    <row r="162" ht="15.75" customHeight="1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8"/>
      <c r="Z162" s="8"/>
    </row>
    <row r="163" ht="15.75" customHeight="1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8"/>
      <c r="Z163" s="8"/>
    </row>
    <row r="164" ht="15.75" customHeight="1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8"/>
      <c r="Z164" s="8"/>
    </row>
    <row r="165" ht="15.75" customHeight="1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8"/>
      <c r="Z165" s="8"/>
    </row>
    <row r="166" ht="15.75" customHeight="1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8"/>
      <c r="Z166" s="8"/>
    </row>
    <row r="167" ht="15.75" customHeight="1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8"/>
      <c r="Z167" s="8"/>
    </row>
    <row r="168" ht="15.75" customHeight="1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8"/>
      <c r="Z168" s="8"/>
    </row>
    <row r="169" ht="15.75" customHeight="1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8"/>
      <c r="Z169" s="8"/>
    </row>
    <row r="170" ht="15.75" customHeight="1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8"/>
      <c r="Z170" s="8"/>
    </row>
    <row r="171" ht="15.75" customHeight="1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8"/>
      <c r="Z171" s="8"/>
    </row>
    <row r="172" ht="15.75" customHeight="1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8"/>
      <c r="Z172" s="8"/>
    </row>
    <row r="173" ht="15.75" customHeight="1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8"/>
      <c r="Z173" s="8"/>
    </row>
    <row r="174" ht="15.75" customHeight="1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8"/>
      <c r="Z174" s="8"/>
    </row>
    <row r="175" ht="15.75" customHeight="1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8"/>
      <c r="Z175" s="8"/>
    </row>
    <row r="176" ht="15.75" customHeight="1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8"/>
      <c r="Z176" s="8"/>
    </row>
    <row r="177" ht="15.75" customHeight="1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8"/>
      <c r="Z177" s="8"/>
    </row>
    <row r="178" ht="15.75" customHeight="1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8"/>
      <c r="Z178" s="8"/>
    </row>
    <row r="179" ht="15.75" customHeight="1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8"/>
      <c r="Z179" s="8"/>
    </row>
    <row r="180" ht="15.75" customHeight="1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8"/>
      <c r="Z180" s="8"/>
    </row>
    <row r="181" ht="15.75" customHeight="1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8"/>
      <c r="Z181" s="8"/>
    </row>
    <row r="182" ht="15.75" customHeight="1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8"/>
      <c r="Z182" s="8"/>
    </row>
    <row r="183" ht="15.75" customHeight="1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8"/>
      <c r="Z183" s="8"/>
    </row>
    <row r="184" ht="15.75" customHeight="1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8"/>
      <c r="Z184" s="8"/>
    </row>
    <row r="185" ht="15.75" customHeight="1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8"/>
      <c r="Z185" s="8"/>
    </row>
    <row r="186" ht="15.75" customHeight="1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8"/>
      <c r="Z186" s="8"/>
    </row>
    <row r="187" ht="15.75" customHeight="1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8"/>
      <c r="Z187" s="8"/>
    </row>
    <row r="188" ht="15.75" customHeight="1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8"/>
      <c r="Z188" s="8"/>
    </row>
    <row r="189" ht="15.75" customHeight="1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8"/>
      <c r="Z189" s="8"/>
    </row>
    <row r="190" ht="15.75" customHeight="1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8"/>
      <c r="Z190" s="8"/>
    </row>
    <row r="191" ht="15.75" customHeight="1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8"/>
      <c r="Z191" s="8"/>
    </row>
    <row r="192" ht="15.75" customHeight="1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8"/>
      <c r="Z192" s="8"/>
    </row>
    <row r="193" ht="15.75" customHeight="1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8"/>
      <c r="Z193" s="8"/>
    </row>
    <row r="194" ht="15.75" customHeight="1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8"/>
      <c r="Z194" s="8"/>
    </row>
    <row r="195" ht="15.75" customHeight="1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8"/>
      <c r="Z195" s="8"/>
    </row>
    <row r="196" ht="15.75" customHeight="1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8"/>
      <c r="Z196" s="8"/>
    </row>
    <row r="197" ht="15.75" customHeight="1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8"/>
      <c r="Z197" s="8"/>
    </row>
    <row r="198" ht="15.75" customHeight="1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8"/>
      <c r="Z198" s="8"/>
    </row>
    <row r="199" ht="15.75" customHeight="1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8"/>
      <c r="Z199" s="8"/>
    </row>
    <row r="200" ht="15.75" customHeight="1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8"/>
      <c r="Z200" s="8"/>
    </row>
    <row r="201" ht="15.75" customHeight="1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8"/>
      <c r="Z201" s="8"/>
    </row>
    <row r="202" ht="15.75" customHeight="1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8"/>
      <c r="Z202" s="8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8"/>
      <c r="Z203" s="8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8"/>
      <c r="Z204" s="8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8"/>
      <c r="Z205" s="8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8"/>
      <c r="Z206" s="8"/>
    </row>
    <row r="207" ht="15.75" customHeight="1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8"/>
      <c r="Z207" s="8"/>
    </row>
    <row r="208" ht="15.75" customHeight="1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8"/>
      <c r="Z208" s="8"/>
    </row>
    <row r="209" ht="15.75" customHeight="1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8"/>
      <c r="Z209" s="8"/>
    </row>
    <row r="210" ht="15.75" customHeight="1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8"/>
      <c r="Z210" s="8"/>
    </row>
    <row r="211" ht="15.75" customHeight="1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8"/>
      <c r="Z211" s="8"/>
    </row>
    <row r="212" ht="15.75" customHeight="1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8"/>
      <c r="Z212" s="8"/>
    </row>
    <row r="213" ht="15.75" customHeight="1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8"/>
      <c r="Z213" s="8"/>
    </row>
    <row r="214" ht="15.75" customHeight="1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8"/>
      <c r="Z214" s="8"/>
    </row>
    <row r="215" ht="15.75" customHeight="1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8"/>
      <c r="Z215" s="8"/>
    </row>
    <row r="216" ht="15.75" customHeight="1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8"/>
      <c r="Z216" s="8"/>
    </row>
    <row r="217" ht="15.75" customHeight="1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8"/>
      <c r="Z217" s="8"/>
    </row>
    <row r="218" ht="15.75" customHeight="1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8"/>
      <c r="Z218" s="8"/>
    </row>
    <row r="219" ht="15.75" customHeight="1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8"/>
      <c r="Z219" s="8"/>
    </row>
    <row r="220" ht="15.75" customHeight="1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8"/>
      <c r="Z220" s="8"/>
    </row>
    <row r="221" ht="15.75" customHeight="1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8"/>
      <c r="Z221" s="8"/>
    </row>
    <row r="222" ht="15.75" customHeight="1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8"/>
      <c r="Z222" s="8"/>
    </row>
    <row r="223" ht="15.75" customHeight="1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8"/>
      <c r="Z223" s="8"/>
    </row>
    <row r="224" ht="15.75" customHeight="1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8"/>
      <c r="Z224" s="8"/>
    </row>
    <row r="225" ht="15.75" customHeight="1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8"/>
      <c r="Z225" s="8"/>
    </row>
    <row r="226" ht="15.75" customHeight="1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8"/>
      <c r="Z226" s="8"/>
    </row>
    <row r="227" ht="15.75" customHeight="1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8"/>
      <c r="Z227" s="8"/>
    </row>
    <row r="228" ht="15.75" customHeight="1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8"/>
      <c r="Z228" s="8"/>
    </row>
    <row r="229" ht="15.75" customHeight="1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8"/>
      <c r="Z229" s="8"/>
    </row>
    <row r="230" ht="15.75" customHeight="1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8"/>
      <c r="Z230" s="8"/>
    </row>
    <row r="231" ht="15.75" customHeight="1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8"/>
      <c r="Z231" s="8"/>
    </row>
    <row r="232" ht="15.75" customHeight="1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8"/>
      <c r="Z232" s="8"/>
    </row>
    <row r="233" ht="15.75" customHeight="1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mergeCells count="11">
    <mergeCell ref="G26:G27"/>
    <mergeCell ref="H26:H27"/>
    <mergeCell ref="I26:I27"/>
    <mergeCell ref="J26:J27"/>
    <mergeCell ref="A1:A2"/>
    <mergeCell ref="A26:A27"/>
    <mergeCell ref="B26:B27"/>
    <mergeCell ref="C26:C27"/>
    <mergeCell ref="D26:D27"/>
    <mergeCell ref="E26:E27"/>
    <mergeCell ref="F26:F27"/>
  </mergeCells>
  <printOptions/>
  <pageMargins bottom="0.75" footer="0.0" header="0.0" left="0.7" right="0.7" top="0.75"/>
  <pageSetup orientation="landscape"/>
  <drawing r:id="rId1"/>
</worksheet>
</file>